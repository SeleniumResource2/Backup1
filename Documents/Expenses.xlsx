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xr:revisionPtr revIDLastSave="0" documentId="13_ncr:1_{2F68E427-0954-425D-B08A-A19DB09074EA}" xr6:coauthVersionLast="47" xr6:coauthVersionMax="47" xr10:uidLastSave="{00000000-0000-0000-0000-000000000000}"/>
  <bookViews>
    <workbookView xWindow="-108" yWindow="-108" windowWidth="23256" windowHeight="12720" activeTab="3" xr2:uid="{752AF653-1AF5-48C5-98B0-2B362D9847F9}"/>
  </bookViews>
  <sheets>
    <sheet name="March" sheetId="1" r:id="rId1"/>
    <sheet name="April" sheetId="3" r:id="rId2"/>
    <sheet name="May" sheetId="4" r:id="rId3"/>
    <sheet name="June" sheetId="6" r:id="rId4"/>
    <sheet name="Exp" sheetId="2" r:id="rId5"/>
    <sheet name="DetailsTNE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</calcChain>
</file>

<file path=xl/sharedStrings.xml><?xml version="1.0" encoding="utf-8"?>
<sst xmlns="http://schemas.openxmlformats.org/spreadsheetml/2006/main" count="176" uniqueCount="97">
  <si>
    <t xml:space="preserve">Fast tag </t>
  </si>
  <si>
    <t>09th March</t>
  </si>
  <si>
    <t>RD</t>
  </si>
  <si>
    <t>Rent</t>
  </si>
  <si>
    <t>Washing Machine</t>
  </si>
  <si>
    <t>Vegetables</t>
  </si>
  <si>
    <t>Electricity bill</t>
  </si>
  <si>
    <t>Medicine-Parasakthi Agencies</t>
  </si>
  <si>
    <t>Pooja store - deo</t>
  </si>
  <si>
    <t>Regestrone</t>
  </si>
  <si>
    <t>Sujatha</t>
  </si>
  <si>
    <t>Hekma</t>
  </si>
  <si>
    <t>Muthuraman</t>
  </si>
  <si>
    <t>Amma chit</t>
  </si>
  <si>
    <t>Milk-pooja</t>
  </si>
  <si>
    <t>Pooja dress for nalvar</t>
  </si>
  <si>
    <t>Tender coconut - Pooja</t>
  </si>
  <si>
    <t>Sweet-Pooja</t>
  </si>
  <si>
    <t>Description</t>
  </si>
  <si>
    <t>Amount</t>
  </si>
  <si>
    <t>Date</t>
  </si>
  <si>
    <t>Nalvar pooja expenses</t>
  </si>
  <si>
    <t>Amma datacard recharge</t>
  </si>
  <si>
    <t>Vegetables - March 17</t>
  </si>
  <si>
    <t>Interest Details</t>
  </si>
  <si>
    <t>Savings</t>
  </si>
  <si>
    <t>Panangkilangu</t>
  </si>
  <si>
    <t>Honey</t>
  </si>
  <si>
    <t>Advance paid</t>
  </si>
  <si>
    <t>Washing Machine Trichy</t>
  </si>
  <si>
    <t>Amma mobile recharge</t>
  </si>
  <si>
    <t>Washing machine-try</t>
  </si>
  <si>
    <t>Washing machine-chn</t>
  </si>
  <si>
    <t>Malai for nalvar</t>
  </si>
  <si>
    <t>Prakash nagar - adv return excluding Natraj exp</t>
  </si>
  <si>
    <t>10000 return 
2000 Natraj exp</t>
  </si>
  <si>
    <t>Srinivasan</t>
  </si>
  <si>
    <t>My account</t>
  </si>
  <si>
    <t>Total savings</t>
  </si>
  <si>
    <t>ICICI bank score</t>
  </si>
  <si>
    <t>IDBI score</t>
  </si>
  <si>
    <t>Anjali score</t>
  </si>
  <si>
    <t>Medicine - Trapic/Stayfree</t>
  </si>
  <si>
    <t>Cylinder</t>
  </si>
  <si>
    <t>sal</t>
  </si>
  <si>
    <t>Shankar</t>
  </si>
  <si>
    <t>Manivannan</t>
  </si>
  <si>
    <t>Milk</t>
  </si>
  <si>
    <t>Watercan</t>
  </si>
  <si>
    <t>Egg</t>
  </si>
  <si>
    <t>Selenium support</t>
  </si>
  <si>
    <t>Kavery Grocery</t>
  </si>
  <si>
    <t>DataCard recharge-April 15</t>
  </si>
  <si>
    <t>DataCard recharge-April 20-Myself</t>
  </si>
  <si>
    <t>EB charges</t>
  </si>
  <si>
    <t>Jmeter-Fita</t>
  </si>
  <si>
    <t>DataCard recharge-May 1st Amma</t>
  </si>
  <si>
    <t>Appa mobile recharge</t>
  </si>
  <si>
    <t>Thenappan- expenses</t>
  </si>
  <si>
    <t>TNEB - consumer no or userno:</t>
  </si>
  <si>
    <t>Pwd</t>
  </si>
  <si>
    <t>Ananthi1</t>
  </si>
  <si>
    <t>ID - NM25894</t>
  </si>
  <si>
    <t>Thenappan</t>
  </si>
  <si>
    <t>ID - NM25895</t>
  </si>
  <si>
    <t>Manju Meena</t>
  </si>
  <si>
    <t>Egg+Chock piece ant</t>
  </si>
  <si>
    <t xml:space="preserve">Cylinder </t>
  </si>
  <si>
    <t>Netflix</t>
  </si>
  <si>
    <t>Recurring Deposit</t>
  </si>
  <si>
    <t>12th May</t>
  </si>
  <si>
    <t>18th May</t>
  </si>
  <si>
    <t>15th May</t>
  </si>
  <si>
    <t>17th May</t>
  </si>
  <si>
    <t>19thMay</t>
  </si>
  <si>
    <t>Medical exp for me by Thenappan</t>
  </si>
  <si>
    <t>Medical exp for me by Manju</t>
  </si>
  <si>
    <t>Nemokokal - vaccine</t>
  </si>
  <si>
    <t>Medicine</t>
  </si>
  <si>
    <t>Medical Insurance</t>
  </si>
  <si>
    <t>Saibaba-ananthanam</t>
  </si>
  <si>
    <t>Sodex</t>
  </si>
  <si>
    <t>Arumugam-Maintenance</t>
  </si>
  <si>
    <t>Salary-for covid fund in office</t>
  </si>
  <si>
    <t>Milk from 22nd June</t>
  </si>
  <si>
    <t>Mobile - data card Recharge</t>
  </si>
  <si>
    <t>d</t>
  </si>
  <si>
    <t>29th June</t>
  </si>
  <si>
    <t>Medicine charges</t>
  </si>
  <si>
    <t>Airtel recharge</t>
  </si>
  <si>
    <t>Manju</t>
  </si>
  <si>
    <t>Manju - For skin doctor</t>
  </si>
  <si>
    <t>Cylinder+Vegetables</t>
  </si>
  <si>
    <t>Medical expense</t>
  </si>
  <si>
    <t>I</t>
  </si>
  <si>
    <t>H</t>
  </si>
  <si>
    <t>IDBI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</si>
</sst>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7" fontId="0" fillId="0" borderId="0" xfId="0" applyNumberFormat="1"/>
    <xf numFmtId="0" fontId="0" fillId="2" borderId="0" xfId="0" applyFill="1"/>
    <xf numFmtId="0" fontId="1" fillId="3" borderId="1" xfId="0" applyFont="1" applyFill="1" applyBorder="1"/>
    <xf numFmtId="17" fontId="0" fillId="0" borderId="1" xfId="0" applyNumberFormat="1" applyBorder="1"/>
    <xf numFmtId="0" fontId="0" fillId="0" borderId="1" xfId="0" applyBorder="1"/>
    <xf numFmtId="0" fontId="0" fillId="0" borderId="1" xfId="0" applyFont="1" applyBorder="1"/>
    <xf numFmtId="0" fontId="1" fillId="0" borderId="1" xfId="0" applyFont="1" applyBorder="1"/>
    <xf numFmtId="0" fontId="0" fillId="2" borderId="1" xfId="0" applyFont="1" applyFill="1" applyBorder="1"/>
    <xf numFmtId="0" fontId="0" fillId="0" borderId="1" xfId="0" applyFill="1" applyBorder="1"/>
    <xf numFmtId="0" fontId="0" fillId="0" borderId="2" xfId="0" applyFill="1" applyBorder="1"/>
    <xf numFmtId="14" fontId="0" fillId="0" borderId="1" xfId="0" applyNumberForma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D4D7-829F-4F7A-9373-478ABC45019F}">
  <dimension ref="A1:M26"/>
  <sheetViews>
    <sheetView workbookViewId="0">
      <selection activeCell="E11" sqref="E11"/>
    </sheetView>
  </sheetViews>
  <sheetFormatPr defaultRowHeight="14.4" x14ac:dyDescent="0.3"/>
  <cols>
    <col min="1" max="1" width="10.33203125" bestFit="1" customWidth="1"/>
    <col min="2" max="2" width="25.77734375" bestFit="1" customWidth="1"/>
    <col min="4" max="4" width="11.88671875" bestFit="1" customWidth="1"/>
    <col min="5" max="5" width="10.77734375" bestFit="1" customWidth="1"/>
    <col min="11" max="11" width="11.44140625" bestFit="1" customWidth="1"/>
    <col min="12" max="12" width="10.5546875" bestFit="1" customWidth="1"/>
  </cols>
  <sheetData>
    <row r="1" spans="1:13" s="1" customFormat="1" x14ac:dyDescent="0.3">
      <c r="A1" s="1" t="s">
        <v>20</v>
      </c>
      <c r="B1" s="1" t="s">
        <v>18</v>
      </c>
      <c r="C1" s="1" t="s">
        <v>19</v>
      </c>
      <c r="D1" s="1" t="s">
        <v>24</v>
      </c>
      <c r="F1" s="1" t="s">
        <v>25</v>
      </c>
    </row>
    <row r="2" spans="1:13" x14ac:dyDescent="0.3">
      <c r="A2" t="s">
        <v>1</v>
      </c>
      <c r="B2" t="s">
        <v>0</v>
      </c>
      <c r="C2">
        <v>500</v>
      </c>
      <c r="D2" t="s">
        <v>12</v>
      </c>
      <c r="E2">
        <v>7500</v>
      </c>
      <c r="F2" t="s">
        <v>2</v>
      </c>
      <c r="G2">
        <v>20000</v>
      </c>
    </row>
    <row r="3" spans="1:13" x14ac:dyDescent="0.3">
      <c r="B3" t="s">
        <v>3</v>
      </c>
      <c r="C3">
        <v>8000</v>
      </c>
      <c r="D3" t="s">
        <v>12</v>
      </c>
      <c r="E3">
        <v>5250</v>
      </c>
    </row>
    <row r="4" spans="1:13" x14ac:dyDescent="0.3">
      <c r="B4" t="s">
        <v>4</v>
      </c>
      <c r="C4">
        <v>4000</v>
      </c>
      <c r="D4" t="s">
        <v>11</v>
      </c>
      <c r="E4">
        <v>18672</v>
      </c>
    </row>
    <row r="5" spans="1:13" x14ac:dyDescent="0.3">
      <c r="B5" t="s">
        <v>5</v>
      </c>
      <c r="C5">
        <v>1100</v>
      </c>
      <c r="D5" t="s">
        <v>10</v>
      </c>
      <c r="E5">
        <v>5000</v>
      </c>
      <c r="L5" t="s">
        <v>37</v>
      </c>
      <c r="M5" t="s">
        <v>36</v>
      </c>
    </row>
    <row r="6" spans="1:13" x14ac:dyDescent="0.3">
      <c r="B6" t="s">
        <v>6</v>
      </c>
      <c r="C6">
        <v>65</v>
      </c>
      <c r="D6" t="s">
        <v>44</v>
      </c>
      <c r="E6">
        <v>108000</v>
      </c>
      <c r="K6" t="s">
        <v>38</v>
      </c>
      <c r="L6">
        <v>550000</v>
      </c>
      <c r="M6">
        <v>158000</v>
      </c>
    </row>
    <row r="7" spans="1:13" x14ac:dyDescent="0.3">
      <c r="B7" t="s">
        <v>7</v>
      </c>
      <c r="C7">
        <v>26194</v>
      </c>
      <c r="D7" t="s">
        <v>45</v>
      </c>
      <c r="E7">
        <v>2000</v>
      </c>
      <c r="K7" t="s">
        <v>39</v>
      </c>
      <c r="L7">
        <v>220000</v>
      </c>
    </row>
    <row r="8" spans="1:13" x14ac:dyDescent="0.3">
      <c r="B8" t="s">
        <v>8</v>
      </c>
      <c r="C8">
        <v>192</v>
      </c>
      <c r="K8" t="s">
        <v>40</v>
      </c>
      <c r="L8">
        <v>150000</v>
      </c>
    </row>
    <row r="9" spans="1:13" x14ac:dyDescent="0.3">
      <c r="B9" t="s">
        <v>9</v>
      </c>
      <c r="C9">
        <v>855</v>
      </c>
      <c r="K9" t="s">
        <v>41</v>
      </c>
      <c r="L9">
        <v>117000</v>
      </c>
    </row>
    <row r="10" spans="1:13" x14ac:dyDescent="0.3">
      <c r="B10" t="s">
        <v>0</v>
      </c>
      <c r="C10">
        <v>500</v>
      </c>
    </row>
    <row r="11" spans="1:13" x14ac:dyDescent="0.3">
      <c r="B11" t="s">
        <v>14</v>
      </c>
      <c r="C11">
        <v>75</v>
      </c>
    </row>
    <row r="12" spans="1:13" x14ac:dyDescent="0.3">
      <c r="B12" t="s">
        <v>15</v>
      </c>
      <c r="C12">
        <v>160</v>
      </c>
    </row>
    <row r="13" spans="1:13" x14ac:dyDescent="0.3">
      <c r="B13" t="s">
        <v>16</v>
      </c>
      <c r="C13">
        <v>160</v>
      </c>
    </row>
    <row r="14" spans="1:13" x14ac:dyDescent="0.3">
      <c r="B14" t="s">
        <v>17</v>
      </c>
      <c r="C14">
        <v>150</v>
      </c>
    </row>
    <row r="15" spans="1:13" x14ac:dyDescent="0.3">
      <c r="B15" t="s">
        <v>27</v>
      </c>
      <c r="C15">
        <v>74</v>
      </c>
    </row>
    <row r="16" spans="1:13" x14ac:dyDescent="0.3">
      <c r="B16" t="s">
        <v>33</v>
      </c>
      <c r="C16">
        <v>450</v>
      </c>
    </row>
    <row r="17" spans="2:3" x14ac:dyDescent="0.3">
      <c r="B17" t="s">
        <v>26</v>
      </c>
      <c r="C17">
        <v>40</v>
      </c>
    </row>
    <row r="18" spans="2:3" x14ac:dyDescent="0.3">
      <c r="B18" t="s">
        <v>22</v>
      </c>
      <c r="C18">
        <v>251</v>
      </c>
    </row>
    <row r="19" spans="2:3" x14ac:dyDescent="0.3">
      <c r="B19" t="s">
        <v>23</v>
      </c>
      <c r="C19">
        <v>200</v>
      </c>
    </row>
    <row r="20" spans="2:3" x14ac:dyDescent="0.3">
      <c r="B20" t="s">
        <v>29</v>
      </c>
      <c r="C20">
        <v>4811</v>
      </c>
    </row>
    <row r="21" spans="2:3" x14ac:dyDescent="0.3">
      <c r="B21" t="s">
        <v>30</v>
      </c>
      <c r="C21">
        <v>555</v>
      </c>
    </row>
    <row r="22" spans="2:3" x14ac:dyDescent="0.3">
      <c r="B22" t="s">
        <v>13</v>
      </c>
      <c r="C22">
        <v>5000</v>
      </c>
    </row>
    <row r="23" spans="2:3" x14ac:dyDescent="0.3">
      <c r="B23" t="s">
        <v>42</v>
      </c>
      <c r="C23">
        <v>1000</v>
      </c>
    </row>
    <row r="24" spans="2:3" x14ac:dyDescent="0.3">
      <c r="B24" t="s">
        <v>43</v>
      </c>
      <c r="C24">
        <v>1000</v>
      </c>
    </row>
    <row r="26" spans="2:3" x14ac:dyDescent="0.3">
      <c r="C26">
        <f>SUM(C2:C25)</f>
        <v>55332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7688-9E60-4E4F-A058-D4D22B493F8A}">
  <dimension ref="A1:M21"/>
  <sheetViews>
    <sheetView workbookViewId="0">
      <selection activeCell="C1" sqref="C1:C1048576"/>
    </sheetView>
  </sheetViews>
  <sheetFormatPr defaultRowHeight="14.4" x14ac:dyDescent="0.3"/>
  <cols>
    <col min="1" max="1" width="10.33203125" bestFit="1" customWidth="1"/>
    <col min="2" max="2" width="29.6640625" bestFit="1" customWidth="1"/>
    <col min="4" max="4" width="15.109375" bestFit="1" customWidth="1"/>
    <col min="5" max="5" width="10.77734375" bestFit="1" customWidth="1"/>
    <col min="11" max="11" width="11.44140625" bestFit="1" customWidth="1"/>
    <col min="12" max="12" width="10.5546875" bestFit="1" customWidth="1"/>
  </cols>
  <sheetData>
    <row r="1" spans="1:13" s="1" customFormat="1" x14ac:dyDescent="0.3">
      <c r="A1" s="1" t="s">
        <v>20</v>
      </c>
      <c r="B1" s="1" t="s">
        <v>18</v>
      </c>
      <c r="C1" s="1" t="s">
        <v>19</v>
      </c>
      <c r="D1" s="1" t="s">
        <v>24</v>
      </c>
      <c r="F1" s="1" t="s">
        <v>25</v>
      </c>
    </row>
    <row r="2" spans="1:13" x14ac:dyDescent="0.3">
      <c r="A2" s="3">
        <v>37347</v>
      </c>
      <c r="B2" t="s">
        <v>0</v>
      </c>
      <c r="C2">
        <v>300</v>
      </c>
      <c r="D2" t="s">
        <v>12</v>
      </c>
      <c r="E2">
        <v>12750</v>
      </c>
      <c r="F2" t="s">
        <v>2</v>
      </c>
      <c r="G2">
        <v>20000</v>
      </c>
    </row>
    <row r="3" spans="1:13" x14ac:dyDescent="0.3">
      <c r="B3" s="4" t="s">
        <v>3</v>
      </c>
      <c r="C3" s="4">
        <v>7000</v>
      </c>
      <c r="D3" t="s">
        <v>46</v>
      </c>
      <c r="E3">
        <v>22000</v>
      </c>
    </row>
    <row r="4" spans="1:13" x14ac:dyDescent="0.3">
      <c r="B4" s="4" t="s">
        <v>13</v>
      </c>
      <c r="C4" s="4">
        <v>5000</v>
      </c>
      <c r="D4" t="s">
        <v>11</v>
      </c>
      <c r="E4">
        <v>25000</v>
      </c>
    </row>
    <row r="5" spans="1:13" x14ac:dyDescent="0.3">
      <c r="D5" t="s">
        <v>10</v>
      </c>
      <c r="L5" t="s">
        <v>37</v>
      </c>
      <c r="M5" t="s">
        <v>36</v>
      </c>
    </row>
    <row r="6" spans="1:13" x14ac:dyDescent="0.3">
      <c r="D6" t="s">
        <v>45</v>
      </c>
      <c r="E6">
        <v>2000</v>
      </c>
      <c r="K6" t="s">
        <v>38</v>
      </c>
      <c r="L6">
        <v>550000</v>
      </c>
      <c r="M6">
        <v>158000</v>
      </c>
    </row>
    <row r="7" spans="1:13" x14ac:dyDescent="0.3">
      <c r="D7" t="s">
        <v>55</v>
      </c>
      <c r="E7">
        <v>7750</v>
      </c>
      <c r="K7" t="s">
        <v>39</v>
      </c>
      <c r="L7">
        <v>220000</v>
      </c>
    </row>
    <row r="8" spans="1:13" x14ac:dyDescent="0.3">
      <c r="B8" t="s">
        <v>47</v>
      </c>
      <c r="C8">
        <v>50</v>
      </c>
      <c r="D8" t="s">
        <v>50</v>
      </c>
      <c r="E8">
        <v>4500</v>
      </c>
      <c r="K8" t="s">
        <v>40</v>
      </c>
      <c r="L8">
        <v>150000</v>
      </c>
    </row>
    <row r="9" spans="1:13" x14ac:dyDescent="0.3">
      <c r="B9" t="s">
        <v>48</v>
      </c>
      <c r="C9">
        <v>140</v>
      </c>
      <c r="K9" t="s">
        <v>41</v>
      </c>
      <c r="L9">
        <v>117000</v>
      </c>
    </row>
    <row r="10" spans="1:13" x14ac:dyDescent="0.3">
      <c r="B10" t="s">
        <v>49</v>
      </c>
      <c r="C10">
        <v>48</v>
      </c>
    </row>
    <row r="11" spans="1:13" x14ac:dyDescent="0.3">
      <c r="B11" t="s">
        <v>47</v>
      </c>
      <c r="C11">
        <v>50</v>
      </c>
    </row>
    <row r="12" spans="1:13" x14ac:dyDescent="0.3">
      <c r="B12" t="s">
        <v>49</v>
      </c>
      <c r="C12">
        <v>88</v>
      </c>
    </row>
    <row r="13" spans="1:13" x14ac:dyDescent="0.3">
      <c r="B13" t="s">
        <v>49</v>
      </c>
      <c r="C13">
        <v>60</v>
      </c>
    </row>
    <row r="14" spans="1:13" x14ac:dyDescent="0.3">
      <c r="B14" t="s">
        <v>5</v>
      </c>
      <c r="C14">
        <v>800</v>
      </c>
    </row>
    <row r="15" spans="1:13" x14ac:dyDescent="0.3">
      <c r="B15" t="s">
        <v>48</v>
      </c>
      <c r="C15">
        <v>70</v>
      </c>
    </row>
    <row r="16" spans="1:13" x14ac:dyDescent="0.3">
      <c r="B16" t="s">
        <v>51</v>
      </c>
      <c r="C16">
        <v>3379</v>
      </c>
    </row>
    <row r="17" spans="2:3" x14ac:dyDescent="0.3">
      <c r="B17" t="s">
        <v>52</v>
      </c>
      <c r="C17">
        <v>251</v>
      </c>
    </row>
    <row r="18" spans="2:3" x14ac:dyDescent="0.3">
      <c r="B18" t="s">
        <v>53</v>
      </c>
      <c r="C18">
        <v>151</v>
      </c>
    </row>
    <row r="19" spans="2:3" x14ac:dyDescent="0.3">
      <c r="B19" t="s">
        <v>48</v>
      </c>
      <c r="C19">
        <v>70</v>
      </c>
    </row>
    <row r="20" spans="2:3" x14ac:dyDescent="0.3">
      <c r="B20" t="s">
        <v>57</v>
      </c>
      <c r="C20">
        <v>197</v>
      </c>
    </row>
    <row r="21" spans="2:3" x14ac:dyDescent="0.3">
      <c r="B21" t="s">
        <v>68</v>
      </c>
      <c r="C21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46ADB-D007-418A-B02F-018524528217}">
  <dimension ref="A1:M20"/>
  <sheetViews>
    <sheetView workbookViewId="0">
      <selection activeCell="C1" sqref="C1:C1048576"/>
    </sheetView>
  </sheetViews>
  <sheetFormatPr defaultRowHeight="14.4" x14ac:dyDescent="0.3"/>
  <cols>
    <col min="1" max="1" width="10.33203125" bestFit="1" customWidth="1"/>
    <col min="2" max="2" width="29.6640625" bestFit="1" customWidth="1"/>
    <col min="4" max="4" width="15.109375" bestFit="1" customWidth="1"/>
    <col min="5" max="5" width="10.77734375" bestFit="1" customWidth="1"/>
    <col min="6" max="6" width="15.44140625" bestFit="1" customWidth="1"/>
    <col min="11" max="11" width="14.21875" bestFit="1" customWidth="1"/>
    <col min="12" max="12" width="10.5546875" bestFit="1" customWidth="1"/>
  </cols>
  <sheetData>
    <row r="1" spans="1:13" s="1" customFormat="1" x14ac:dyDescent="0.3">
      <c r="A1" s="5" t="s">
        <v>20</v>
      </c>
      <c r="B1" s="5" t="s">
        <v>18</v>
      </c>
      <c r="C1" s="5" t="s">
        <v>19</v>
      </c>
      <c r="D1" s="5" t="s">
        <v>24</v>
      </c>
      <c r="E1" s="5" t="s">
        <v>19</v>
      </c>
      <c r="F1" s="5" t="s">
        <v>25</v>
      </c>
      <c r="G1" s="5" t="s">
        <v>19</v>
      </c>
    </row>
    <row r="2" spans="1:13" x14ac:dyDescent="0.3">
      <c r="A2" s="6">
        <v>37347</v>
      </c>
      <c r="B2" s="7" t="s">
        <v>0</v>
      </c>
      <c r="C2" s="7">
        <v>300</v>
      </c>
      <c r="D2" s="7" t="s">
        <v>12</v>
      </c>
      <c r="E2" s="7">
        <v>7500</v>
      </c>
      <c r="F2" s="7" t="s">
        <v>69</v>
      </c>
      <c r="G2" s="7">
        <v>20000</v>
      </c>
    </row>
    <row r="3" spans="1:13" x14ac:dyDescent="0.3">
      <c r="A3" s="7"/>
      <c r="B3" s="10" t="s">
        <v>3</v>
      </c>
      <c r="C3" s="10">
        <v>7000</v>
      </c>
      <c r="E3">
        <v>3500</v>
      </c>
      <c r="F3" s="7"/>
      <c r="G3" s="7"/>
    </row>
    <row r="4" spans="1:13" x14ac:dyDescent="0.3">
      <c r="A4" s="7"/>
      <c r="B4" s="10" t="s">
        <v>13</v>
      </c>
      <c r="C4" s="10">
        <v>5000</v>
      </c>
      <c r="E4">
        <v>1750</v>
      </c>
      <c r="F4" s="7"/>
      <c r="G4" s="7"/>
    </row>
    <row r="5" spans="1:13" x14ac:dyDescent="0.3">
      <c r="A5" s="7"/>
      <c r="B5" s="7" t="s">
        <v>56</v>
      </c>
      <c r="C5" s="7">
        <v>251</v>
      </c>
      <c r="D5" s="7" t="s">
        <v>46</v>
      </c>
      <c r="E5" s="7"/>
      <c r="F5" s="7"/>
      <c r="G5" s="7"/>
      <c r="L5" t="s">
        <v>37</v>
      </c>
      <c r="M5" t="s">
        <v>36</v>
      </c>
    </row>
    <row r="6" spans="1:13" x14ac:dyDescent="0.3">
      <c r="A6" s="7"/>
      <c r="B6" s="7" t="s">
        <v>5</v>
      </c>
      <c r="C6" s="7">
        <v>65</v>
      </c>
      <c r="D6" s="7" t="s">
        <v>11</v>
      </c>
      <c r="E6" s="7">
        <v>25000</v>
      </c>
      <c r="F6" s="7"/>
      <c r="G6" s="7"/>
      <c r="K6" t="s">
        <v>38</v>
      </c>
      <c r="L6">
        <v>550000</v>
      </c>
      <c r="M6">
        <v>158000</v>
      </c>
    </row>
    <row r="7" spans="1:13" x14ac:dyDescent="0.3">
      <c r="A7" s="7"/>
      <c r="B7" s="8" t="s">
        <v>54</v>
      </c>
      <c r="C7" s="8">
        <v>950</v>
      </c>
      <c r="D7" s="7" t="s">
        <v>10</v>
      </c>
      <c r="E7" s="7"/>
      <c r="F7" s="7"/>
      <c r="G7" s="7"/>
      <c r="K7" t="s">
        <v>39</v>
      </c>
      <c r="L7">
        <v>220000</v>
      </c>
    </row>
    <row r="8" spans="1:13" x14ac:dyDescent="0.3">
      <c r="A8" s="7"/>
      <c r="B8" s="7" t="s">
        <v>58</v>
      </c>
      <c r="C8" s="7">
        <v>300</v>
      </c>
      <c r="D8" s="7"/>
      <c r="E8" s="7"/>
      <c r="F8" s="7"/>
      <c r="G8" s="7"/>
      <c r="K8" t="s">
        <v>40</v>
      </c>
      <c r="L8">
        <v>150000</v>
      </c>
    </row>
    <row r="9" spans="1:13" x14ac:dyDescent="0.3">
      <c r="A9" s="7"/>
      <c r="B9" s="7" t="s">
        <v>48</v>
      </c>
      <c r="C9" s="7">
        <v>70</v>
      </c>
      <c r="D9" s="7"/>
      <c r="E9" s="7"/>
      <c r="F9" s="7"/>
      <c r="G9" s="7"/>
      <c r="K9" t="s">
        <v>41</v>
      </c>
      <c r="L9">
        <v>117000</v>
      </c>
    </row>
    <row r="10" spans="1:13" x14ac:dyDescent="0.3">
      <c r="A10" s="7"/>
      <c r="B10" s="7" t="s">
        <v>66</v>
      </c>
      <c r="C10" s="7">
        <v>125</v>
      </c>
      <c r="D10" s="7"/>
      <c r="E10" s="7"/>
      <c r="F10" s="7"/>
      <c r="G10" s="7"/>
    </row>
    <row r="11" spans="1:13" x14ac:dyDescent="0.3">
      <c r="A11" s="7"/>
      <c r="B11" s="9" t="s">
        <v>58</v>
      </c>
      <c r="C11" s="7">
        <v>100</v>
      </c>
      <c r="D11" s="7"/>
      <c r="E11" s="7"/>
      <c r="F11" s="7"/>
      <c r="G11" s="7"/>
    </row>
    <row r="12" spans="1:13" x14ac:dyDescent="0.3">
      <c r="A12" s="7"/>
      <c r="B12" s="7" t="s">
        <v>5</v>
      </c>
      <c r="C12" s="7">
        <v>377</v>
      </c>
      <c r="D12" s="7"/>
      <c r="E12" s="7"/>
      <c r="F12" s="7"/>
      <c r="G12" s="7"/>
    </row>
    <row r="13" spans="1:13" x14ac:dyDescent="0.3">
      <c r="A13" s="7"/>
      <c r="B13" s="7" t="s">
        <v>48</v>
      </c>
      <c r="C13" s="7">
        <v>70</v>
      </c>
      <c r="D13" s="7"/>
      <c r="E13" s="7"/>
      <c r="F13" s="7"/>
      <c r="G13" s="7"/>
    </row>
    <row r="14" spans="1:13" x14ac:dyDescent="0.3">
      <c r="A14" s="7"/>
      <c r="B14" s="7" t="s">
        <v>67</v>
      </c>
      <c r="C14" s="7">
        <v>1000</v>
      </c>
      <c r="D14" s="7"/>
      <c r="E14" s="7"/>
      <c r="F14" s="7"/>
      <c r="G14" s="7"/>
    </row>
    <row r="15" spans="1:13" x14ac:dyDescent="0.3">
      <c r="A15" s="7"/>
      <c r="B15" s="7" t="s">
        <v>68</v>
      </c>
      <c r="C15" s="7">
        <v>199</v>
      </c>
      <c r="D15" s="7"/>
      <c r="E15" s="7"/>
      <c r="F15" s="7"/>
      <c r="G15" s="7"/>
    </row>
    <row r="16" spans="1:13" x14ac:dyDescent="0.3">
      <c r="A16" s="7" t="s">
        <v>70</v>
      </c>
      <c r="B16" s="11" t="s">
        <v>5</v>
      </c>
      <c r="C16" s="11">
        <v>850</v>
      </c>
      <c r="D16" s="7"/>
      <c r="E16" s="7"/>
      <c r="F16" s="7"/>
      <c r="G16" s="7"/>
    </row>
    <row r="17" spans="1:7" x14ac:dyDescent="0.3">
      <c r="A17" s="7" t="s">
        <v>72</v>
      </c>
      <c r="B17" s="11" t="s">
        <v>5</v>
      </c>
      <c r="C17" s="11">
        <v>360</v>
      </c>
      <c r="D17" s="7"/>
      <c r="E17" s="7"/>
      <c r="F17" s="7"/>
      <c r="G17" s="7"/>
    </row>
    <row r="18" spans="1:7" x14ac:dyDescent="0.3">
      <c r="A18" s="7" t="s">
        <v>73</v>
      </c>
      <c r="B18" s="11" t="s">
        <v>47</v>
      </c>
      <c r="C18" s="11">
        <v>70</v>
      </c>
      <c r="D18" s="7"/>
      <c r="E18" s="7"/>
      <c r="F18" s="7"/>
      <c r="G18" s="7"/>
    </row>
    <row r="19" spans="1:7" x14ac:dyDescent="0.3">
      <c r="A19" s="7" t="s">
        <v>71</v>
      </c>
      <c r="B19" s="11" t="s">
        <v>48</v>
      </c>
      <c r="C19" s="11">
        <v>70</v>
      </c>
      <c r="D19" s="7"/>
      <c r="E19" s="7"/>
      <c r="F19" s="7"/>
      <c r="G19" s="7"/>
    </row>
    <row r="20" spans="1:7" x14ac:dyDescent="0.3">
      <c r="A20" s="7" t="s">
        <v>74</v>
      </c>
      <c r="B20" s="7" t="s">
        <v>47</v>
      </c>
      <c r="C20" s="7">
        <v>460</v>
      </c>
      <c r="D20" s="7"/>
      <c r="E20" s="7"/>
      <c r="F20" s="7"/>
      <c r="G20" s="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80FF5-6F48-438D-84E2-2C23ED51CA80}">
  <dimension ref="A1:N21"/>
  <sheetViews>
    <sheetView tabSelected="1" zoomScale="117" workbookViewId="0">
      <selection activeCell="F22" sqref="F22"/>
    </sheetView>
  </sheetViews>
  <sheetFormatPr defaultRowHeight="14.4" x14ac:dyDescent="0.3"/>
  <cols>
    <col min="1" max="1" width="10.33203125" bestFit="1" customWidth="1"/>
    <col min="2" max="2" width="29.6640625" bestFit="1" customWidth="1"/>
    <col min="4" max="4" width="15.109375" bestFit="1" customWidth="1"/>
    <col min="5" max="5" width="10.77734375" bestFit="1" customWidth="1"/>
    <col min="6" max="6" width="15.44140625" bestFit="1" customWidth="1"/>
    <col min="11" max="11" width="14.21875" bestFit="1" customWidth="1"/>
    <col min="12" max="12" width="10.5546875" bestFit="1" customWidth="1"/>
  </cols>
  <sheetData>
    <row r="1" spans="1:14" s="1" customFormat="1" x14ac:dyDescent="0.3">
      <c r="A1" s="5" t="s">
        <v>20</v>
      </c>
      <c r="B1" s="5" t="s">
        <v>18</v>
      </c>
      <c r="C1" s="5" t="s">
        <v>19</v>
      </c>
      <c r="D1" s="5" t="s">
        <v>24</v>
      </c>
      <c r="E1" s="5" t="s">
        <v>19</v>
      </c>
      <c r="F1" s="5" t="s">
        <v>25</v>
      </c>
      <c r="G1" s="5" t="s">
        <v>19</v>
      </c>
    </row>
    <row r="2" spans="1:14" x14ac:dyDescent="0.3">
      <c r="A2" s="6">
        <v>37347</v>
      </c>
      <c r="B2" s="7"/>
      <c r="C2" s="7"/>
      <c r="D2" s="7" t="s">
        <v>12</v>
      </c>
      <c r="E2" s="7">
        <v>7500</v>
      </c>
      <c r="F2" s="7" t="s">
        <v>69</v>
      </c>
      <c r="G2" s="7">
        <v>20000</v>
      </c>
    </row>
    <row r="3" spans="1:14" x14ac:dyDescent="0.3">
      <c r="A3" s="7"/>
      <c r="B3" s="10" t="s">
        <v>3</v>
      </c>
      <c r="C3" s="10">
        <v>7000</v>
      </c>
      <c r="E3">
        <v>3500</v>
      </c>
      <c r="F3" s="7"/>
      <c r="G3" s="7"/>
    </row>
    <row r="4" spans="1:14" x14ac:dyDescent="0.3">
      <c r="A4" s="7"/>
      <c r="B4" s="7" t="s">
        <v>68</v>
      </c>
      <c r="C4" s="7">
        <v>199</v>
      </c>
      <c r="E4">
        <v>1750</v>
      </c>
      <c r="F4" s="7"/>
      <c r="G4" s="7"/>
    </row>
    <row r="5" spans="1:14" x14ac:dyDescent="0.3">
      <c r="A5" s="7"/>
      <c r="B5" s="7" t="s">
        <v>47</v>
      </c>
      <c r="C5" s="7">
        <v>550</v>
      </c>
      <c r="D5" s="7" t="s">
        <v>46</v>
      </c>
      <c r="E5" s="7"/>
      <c r="F5" s="7"/>
      <c r="G5" s="7"/>
      <c r="L5" t="s">
        <v>37</v>
      </c>
      <c r="M5" t="s">
        <v>86</v>
      </c>
    </row>
    <row r="6" spans="1:14" x14ac:dyDescent="0.3">
      <c r="A6" s="7"/>
      <c r="B6" s="7" t="s">
        <v>75</v>
      </c>
      <c r="C6" s="7">
        <v>150000</v>
      </c>
      <c r="D6" s="7" t="s">
        <v>11</v>
      </c>
      <c r="E6" s="7">
        <v>25000</v>
      </c>
      <c r="F6" s="7"/>
      <c r="G6" s="7"/>
      <c r="K6" t="s">
        <v>38</v>
      </c>
    </row>
    <row r="7" spans="1:14" x14ac:dyDescent="0.3">
      <c r="A7" s="7"/>
      <c r="B7" s="8" t="s">
        <v>76</v>
      </c>
      <c r="C7" s="8">
        <v>126500</v>
      </c>
      <c r="D7" s="7" t="s">
        <v>10</v>
      </c>
      <c r="E7" s="7"/>
      <c r="F7" s="7"/>
      <c r="G7" s="7"/>
      <c r="K7" t="s">
        <v>39</v>
      </c>
      <c r="L7">
        <v>740000</v>
      </c>
      <c r="M7">
        <v>267000</v>
      </c>
      <c r="N7">
        <v>100000</v>
      </c>
    </row>
    <row r="8" spans="1:14" x14ac:dyDescent="0.3">
      <c r="A8" s="7"/>
      <c r="B8" s="7" t="s">
        <v>77</v>
      </c>
      <c r="C8" s="7">
        <v>3850</v>
      </c>
      <c r="D8" s="7"/>
      <c r="E8" s="7"/>
      <c r="F8" s="7"/>
      <c r="G8" s="7"/>
      <c r="K8" t="s">
        <v>40</v>
      </c>
    </row>
    <row r="9" spans="1:14" x14ac:dyDescent="0.3">
      <c r="A9" s="7"/>
      <c r="B9" s="7" t="s">
        <v>78</v>
      </c>
      <c r="C9" s="7">
        <v>1120</v>
      </c>
      <c r="D9" s="7" t="s">
        <v>93</v>
      </c>
      <c r="E9" s="7">
        <v>304928</v>
      </c>
      <c r="F9" s="7"/>
      <c r="G9" s="7"/>
    </row>
    <row r="10" spans="1:14" x14ac:dyDescent="0.3">
      <c r="A10" s="7"/>
      <c r="B10" s="8" t="s">
        <v>79</v>
      </c>
      <c r="C10" s="7">
        <v>7233</v>
      </c>
      <c r="D10" s="7"/>
      <c r="E10" s="7"/>
      <c r="F10" s="7"/>
      <c r="G10" s="7"/>
    </row>
    <row r="11" spans="1:14" x14ac:dyDescent="0.3">
      <c r="A11" s="7"/>
      <c r="B11" s="7" t="s">
        <v>80</v>
      </c>
      <c r="C11" s="7">
        <v>200</v>
      </c>
      <c r="D11" s="7"/>
      <c r="E11" s="7"/>
      <c r="F11" s="7"/>
      <c r="G11" s="7"/>
    </row>
    <row r="12" spans="1:14" x14ac:dyDescent="0.3">
      <c r="A12" s="13">
        <v>44368</v>
      </c>
      <c r="B12" s="7" t="s">
        <v>84</v>
      </c>
      <c r="C12" s="7">
        <v>504</v>
      </c>
      <c r="D12" s="7"/>
      <c r="E12" s="7"/>
      <c r="F12" s="7"/>
      <c r="G12" s="7"/>
      <c r="J12" t="s">
        <v>94</v>
      </c>
      <c r="K12">
        <v>717000</v>
      </c>
    </row>
    <row r="13" spans="1:14" x14ac:dyDescent="0.3">
      <c r="B13" s="7" t="s">
        <v>81</v>
      </c>
      <c r="C13" s="7">
        <v>4700</v>
      </c>
      <c r="D13" s="7"/>
      <c r="E13" s="7"/>
      <c r="F13" s="7"/>
      <c r="G13" s="7"/>
      <c r="J13" t="s">
        <v>95</v>
      </c>
      <c r="K13">
        <v>30000</v>
      </c>
    </row>
    <row r="14" spans="1:14" x14ac:dyDescent="0.3">
      <c r="A14" s="7"/>
      <c r="B14" s="12" t="s">
        <v>82</v>
      </c>
      <c r="C14" s="12">
        <v>2024</v>
      </c>
      <c r="D14" s="7"/>
      <c r="E14" s="7"/>
      <c r="F14" s="7"/>
      <c r="G14" s="7"/>
      <c r="J14" t="s">
        <v>96</v>
      </c>
      <c r="K14">
        <v>200000</v>
      </c>
    </row>
    <row r="15" spans="1:14" x14ac:dyDescent="0.3">
      <c r="A15" s="7"/>
      <c r="B15" s="11" t="s">
        <v>83</v>
      </c>
      <c r="C15" s="11">
        <v>3400</v>
      </c>
      <c r="D15" s="7"/>
      <c r="E15" s="7"/>
      <c r="F15" s="7"/>
      <c r="G15" s="7"/>
    </row>
    <row r="16" spans="1:14" x14ac:dyDescent="0.3">
      <c r="A16" s="7"/>
      <c r="B16" s="11" t="s">
        <v>85</v>
      </c>
      <c r="C16" s="11">
        <v>401</v>
      </c>
      <c r="D16" s="7"/>
      <c r="E16" s="7"/>
      <c r="F16" s="7"/>
      <c r="G16" s="7"/>
    </row>
    <row r="17" spans="1:7" x14ac:dyDescent="0.3">
      <c r="A17" s="7" t="s">
        <v>87</v>
      </c>
      <c r="B17" s="12" t="s">
        <v>88</v>
      </c>
      <c r="C17" s="7">
        <v>16482</v>
      </c>
      <c r="D17" s="7"/>
      <c r="E17" s="7"/>
      <c r="F17" s="7"/>
      <c r="G17" s="7"/>
    </row>
    <row r="18" spans="1:7" x14ac:dyDescent="0.3">
      <c r="A18" s="7"/>
      <c r="B18" s="11" t="s">
        <v>89</v>
      </c>
      <c r="C18" s="11">
        <v>49</v>
      </c>
      <c r="D18" s="7"/>
      <c r="E18" s="7"/>
      <c r="F18" s="7"/>
      <c r="G18" s="7"/>
    </row>
    <row r="19" spans="1:7" x14ac:dyDescent="0.3">
      <c r="A19" s="7"/>
      <c r="B19" s="14" t="s">
        <v>90</v>
      </c>
      <c r="C19" s="14">
        <v>70000</v>
      </c>
      <c r="D19" s="7"/>
      <c r="E19" s="7"/>
      <c r="F19" s="7"/>
      <c r="G19" s="7"/>
    </row>
    <row r="20" spans="1:7" x14ac:dyDescent="0.3">
      <c r="A20" s="7"/>
      <c r="B20" s="7" t="s">
        <v>91</v>
      </c>
      <c r="C20" s="7">
        <v>3000</v>
      </c>
      <c r="D20" s="7"/>
      <c r="E20" s="7"/>
      <c r="F20" s="7"/>
      <c r="G20" s="7"/>
    </row>
    <row r="21" spans="1:7" x14ac:dyDescent="0.3">
      <c r="B21" s="12" t="s">
        <v>92</v>
      </c>
      <c r="C21" s="12">
        <v>1500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E97F-6198-4456-9B72-5E10DFDB6388}">
  <dimension ref="B1:E6"/>
  <sheetViews>
    <sheetView workbookViewId="0">
      <selection activeCell="B21" sqref="B21"/>
    </sheetView>
  </sheetViews>
  <sheetFormatPr defaultRowHeight="14.4" x14ac:dyDescent="0.3"/>
  <cols>
    <col min="2" max="2" width="39.88671875" bestFit="1" customWidth="1"/>
    <col min="4" max="4" width="22.88671875" customWidth="1"/>
    <col min="8" max="8" width="19.5546875" bestFit="1" customWidth="1"/>
    <col min="10" max="10" width="28.77734375" customWidth="1"/>
  </cols>
  <sheetData>
    <row r="1" spans="2:5" x14ac:dyDescent="0.3">
      <c r="B1" t="s">
        <v>18</v>
      </c>
      <c r="C1" t="s">
        <v>19</v>
      </c>
    </row>
    <row r="2" spans="2:5" ht="28.8" x14ac:dyDescent="0.3">
      <c r="B2" t="s">
        <v>34</v>
      </c>
      <c r="C2">
        <v>8000</v>
      </c>
      <c r="D2" s="2" t="s">
        <v>35</v>
      </c>
    </row>
    <row r="3" spans="2:5" x14ac:dyDescent="0.3">
      <c r="B3" t="s">
        <v>31</v>
      </c>
      <c r="C3">
        <v>4811</v>
      </c>
    </row>
    <row r="4" spans="2:5" x14ac:dyDescent="0.3">
      <c r="B4" t="s">
        <v>32</v>
      </c>
      <c r="C4">
        <v>4300</v>
      </c>
    </row>
    <row r="5" spans="2:5" x14ac:dyDescent="0.3">
      <c r="B5" t="s">
        <v>21</v>
      </c>
      <c r="C5">
        <v>1069</v>
      </c>
    </row>
    <row r="6" spans="2:5" x14ac:dyDescent="0.3">
      <c r="B6" t="s">
        <v>28</v>
      </c>
      <c r="C6">
        <v>100000</v>
      </c>
      <c r="E6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E461C-57EF-4686-84C3-62DEE6BBF4FD}">
  <dimension ref="A1:B5"/>
  <sheetViews>
    <sheetView workbookViewId="0">
      <selection activeCell="C6" sqref="C6"/>
    </sheetView>
  </sheetViews>
  <sheetFormatPr defaultRowHeight="14.4" x14ac:dyDescent="0.3"/>
  <cols>
    <col min="1" max="1" width="26.77734375" bestFit="1" customWidth="1"/>
    <col min="2" max="2" width="12" bestFit="1" customWidth="1"/>
  </cols>
  <sheetData>
    <row r="1" spans="1:2" x14ac:dyDescent="0.3">
      <c r="A1" t="s">
        <v>59</v>
      </c>
      <c r="B1">
        <v>62620121014</v>
      </c>
    </row>
    <row r="2" spans="1:2" x14ac:dyDescent="0.3">
      <c r="A2" t="s">
        <v>60</v>
      </c>
      <c r="B2" t="s">
        <v>61</v>
      </c>
    </row>
    <row r="4" spans="1:2" x14ac:dyDescent="0.3">
      <c r="A4" t="s">
        <v>62</v>
      </c>
      <c r="B4" t="s">
        <v>63</v>
      </c>
    </row>
    <row r="5" spans="1:2" x14ac:dyDescent="0.3">
      <c r="A5" t="s">
        <v>64</v>
      </c>
      <c r="B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March</vt:lpstr>
      <vt:lpstr>April</vt:lpstr>
      <vt:lpstr>May</vt:lpstr>
      <vt:lpstr>June</vt:lpstr>
      <vt:lpstr>Exp</vt:lpstr>
      <vt:lpstr>DetailsTNE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2021-03-10T02:51:03Z</dcterms:created>
  <dcterms:modified xsi:type="dcterms:W3CDTF">2021-06-30T05:34:30Z</dcterms:modified>
</cp:coreProperties>
</file>